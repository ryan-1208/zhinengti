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/>
  </bookViews>
  <sheets>
    <sheet name="工期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<sst xmlns="http://schemas.openxmlformats.org/spreadsheetml/2006/main" count="45" uniqueCount="34">
  <si>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客户驾驶舱原型开发工期规划</t>
  </si>
  <si>
    <t>前端工期（工作日）</t>
  </si>
  <si>
    <t>后端工期（工作日）</t>
  </si>
  <si>
    <t>并行开发周期（工作日）</t>
  </si>
  <si>
    <t>前后端联调（工作日）</t>
  </si>
  <si>
    <t>测试（不含后台）</t>
  </si>
  <si>
    <t>回归预留（工作日）</t>
  </si>
  <si>
    <t>预计总周期（工作日）</t>
  </si>
  <si>
    <t>工作项</t>
  </si>
  <si>
    <t>估算说明</t>
  </si>
  <si>
    <t>单项估时（工作日）</t>
  </si>
  <si>
    <t>类别</t>
  </si>
  <si>
    <t>生产烹饪</t>
  </si>
  <si>
    <t>前端页面开发</t>
  </si>
  <si>
    <t>前端</t>
  </si>
  <si>
    <t>营养健康</t>
  </si>
  <si>
    <t>出餐统计</t>
  </si>
  <si>
    <t>驾驶舱后台功能修改</t>
  </si>
  <si>
    <t>后台功能修改开发</t>
  </si>
  <si>
    <t>后端</t>
  </si>
  <si>
    <t>营养健康后台功能开发</t>
  </si>
  <si>
    <t>后台功能开发</t>
  </si>
  <si>
    <t>生产烹饪功能开发</t>
  </si>
  <si>
    <t>后端数据接口</t>
  </si>
  <si>
    <t>营养健康大屏</t>
  </si>
  <si>
    <t>出餐统计大屏</t>
  </si>
  <si>
    <t>前后端联调</t>
  </si>
  <si>
    <t>页面与后台接口联调</t>
  </si>
  <si>
    <t>联调</t>
  </si>
  <si>
    <t>测试</t>
  </si>
  <si>
    <t>前端页面测试，不含后台</t>
  </si>
  <si>
    <t>回归预留</t>
  </si>
  <si>
    <t>问题修复后回归验证</t>
  </si>
  <si>
    <t>回归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</si>
</sst>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8"/>
      <color rgb="FFFFFFFF"/>
      <name val="Aptos"/>
      <charset val="134"/>
    </font>
    <font>
      <b/>
      <sz val="10"/>
      <color rgb="FF334E68"/>
      <name val="Aptos"/>
      <charset val="134"/>
    </font>
    <font>
      <b/>
      <sz val="13"/>
      <color rgb="FF167341"/>
      <name val="Aptos"/>
      <charset val="134"/>
    </font>
    <font>
      <sz val="10"/>
      <color rgb="FF24364B"/>
      <name val="Aptos"/>
      <charset val="134"/>
    </font>
    <font>
      <b/>
      <sz val="10"/>
      <color rgb="FFFFFFFF"/>
      <name val="Aptos"/>
      <charset val="134"/>
    </font>
    <font>
      <b/>
      <sz val="10"/>
      <color rgb="FF17365D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2673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6E0EA"/>
      </right>
      <top/>
      <bottom style="thin">
        <color rgb="FFD6E0EA"/>
      </bottom>
      <diagonal/>
    </border>
    <border>
      <left style="thin">
        <color rgb="FFD6E0EA"/>
      </left>
      <right style="thin">
        <color rgb="FFD6E0EA"/>
      </right>
      <top/>
      <bottom style="thin">
        <color rgb="FFD6E0EA"/>
      </bottom>
      <diagonal/>
    </border>
    <border>
      <left style="thin">
        <color rgb="FFD6E0EA"/>
      </left>
      <right/>
      <top/>
      <bottom style="thin">
        <color rgb="FFD6E0EA"/>
      </bottom>
      <diagonal/>
    </border>
    <border>
      <left/>
      <right style="thin">
        <color rgb="FFD6E0EA"/>
      </right>
      <top style="thin">
        <color rgb="FFD6E0EA"/>
      </top>
      <bottom style="thin">
        <color rgb="FFD6E0EA"/>
      </bottom>
      <diagonal/>
    </border>
    <border>
      <left style="thin">
        <color rgb="FFD6E0EA"/>
      </left>
      <right style="thin">
        <color rgb="FFD6E0EA"/>
      </right>
      <top style="thin">
        <color rgb="FFD6E0EA"/>
      </top>
      <bottom style="thin">
        <color rgb="FFD6E0EA"/>
      </bottom>
      <diagonal/>
    </border>
    <border>
      <left/>
      <right style="thin">
        <color rgb="FFD6E0EA"/>
      </right>
      <top style="thin">
        <color rgb="FFD6E0EA"/>
      </top>
      <bottom/>
      <diagonal/>
    </border>
    <border>
      <left style="thin">
        <color rgb="FFD6E0EA"/>
      </left>
      <right style="thin">
        <color rgb="FFD6E0EA"/>
      </right>
      <top style="thin">
        <color rgb="FFD6E0EA"/>
      </top>
      <bottom/>
      <diagonal/>
    </border>
    <border>
      <left style="thin">
        <color rgb="FFD6E0EA"/>
      </left>
      <right/>
      <top style="thin">
        <color rgb="FFD6E0EA"/>
      </top>
      <bottom/>
      <diagonal/>
    </border>
    <border>
      <left style="thin">
        <color rgb="FFD6E0EA"/>
      </left>
      <right/>
      <top style="thin">
        <color rgb="FFD6E0EA"/>
      </top>
      <bottom style="thin">
        <color rgb="FFD6E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2" fillId="3" borderId="4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horizontal="center" vertical="center" wrapText="1"/>
    </xf>
    <xf numFmtId="0" fontId="2" fillId="3" borderId="5" xfId="49" applyNumberFormat="1" applyFont="1" applyFill="1" applyBorder="1" applyAlignment="1">
      <alignment vertical="center" wrapText="1"/>
    </xf>
    <xf numFmtId="0" fontId="3" fillId="4" borderId="6" xfId="49" applyNumberFormat="1" applyFont="1" applyFill="1" applyBorder="1" applyAlignment="1">
      <alignment vertical="center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2" fillId="3" borderId="7" xfId="49" applyNumberFormat="1" applyFont="1" applyFill="1" applyBorder="1" applyAlignment="1">
      <alignment vertical="center" wrapText="1"/>
    </xf>
    <xf numFmtId="0" fontId="4" fillId="3" borderId="8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vertical="center" wrapText="1"/>
    </xf>
    <xf numFmtId="0" fontId="4" fillId="0" borderId="4" xfId="49" applyNumberFormat="1" applyFont="1" applyFill="1" applyBorder="1" applyAlignment="1">
      <alignment vertical="center" wrapText="1"/>
    </xf>
    <xf numFmtId="0" fontId="4" fillId="0" borderId="5" xfId="49" applyNumberFormat="1" applyFont="1" applyFill="1" applyBorder="1" applyAlignment="1">
      <alignment vertical="center" wrapText="1"/>
    </xf>
    <xf numFmtId="0" fontId="6" fillId="0" borderId="5" xfId="49" applyNumberFormat="1" applyFont="1" applyFill="1" applyBorder="1" applyAlignment="1">
      <alignment horizontal="center" vertical="center" wrapText="1"/>
    </xf>
    <xf numFmtId="0" fontId="4" fillId="0" borderId="9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vertical="center" wrapText="1"/>
    </xf>
    <xf numFmtId="0" fontId="4" fillId="0" borderId="7" xfId="49" applyNumberFormat="1" applyFont="1" applyFill="1" applyBorder="1" applyAlignment="1">
      <alignment vertical="center" wrapText="1"/>
    </xf>
    <xf numFmtId="0" fontId="6" fillId="0" borderId="7" xfId="49" applyNumberFormat="1" applyFont="1" applyFill="1" applyBorder="1" applyAlignment="1">
      <alignment horizontal="center" vertical="center" wrapText="1"/>
    </xf>
    <xf numFmtId="0" fontId="4" fillId="0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showGridLines="0" tabSelected="1" workbookViewId="0">
      <selection activeCell="F5" sqref="F5"/>
    </sheetView>
  </sheetViews>
  <sheetFormatPr defaultColWidth="9" defaultRowHeight="16.8" outlineLevelCol="3"/>
  <cols>
    <col min="1" max="1" width="25.5588235294118" customWidth="1"/>
    <col min="2" max="2" width="43.3308823529412" customWidth="1"/>
    <col min="3" max="3" width="17.7794117647059" customWidth="1"/>
    <col min="4" max="4" width="16.1102941176471" customWidth="1"/>
  </cols>
  <sheetData>
    <row r="1" ht="31.5" customHeight="1" spans="1:4">
      <c r="A1" s="1" t="s">
        <v>0</v>
      </c>
      <c r="B1" s="1"/>
      <c r="C1" s="1"/>
      <c r="D1" s="1"/>
    </row>
    <row r="2" ht="24" customHeight="1" spans="1:4">
      <c r="A2" s="2" t="s">
        <v>1</v>
      </c>
      <c r="B2" s="3">
        <f>SUM(C8:C10)</f>
        <v>11</v>
      </c>
      <c r="C2" s="4" t="s">
        <v>2</v>
      </c>
      <c r="D2" s="5">
        <f>SUM(C11:C15)</f>
        <v>8</v>
      </c>
    </row>
    <row r="3" ht="24" customHeight="1" spans="1:4">
      <c r="A3" s="6" t="s">
        <v>3</v>
      </c>
      <c r="B3" s="7">
        <f>MAX(B2,D2)</f>
        <v>11</v>
      </c>
      <c r="C3" s="8" t="s">
        <v>4</v>
      </c>
      <c r="D3" s="5">
        <f>C16</f>
        <v>2</v>
      </c>
    </row>
    <row r="4" ht="24" customHeight="1" spans="1:4">
      <c r="A4" s="6" t="s">
        <v>5</v>
      </c>
      <c r="B4" s="7">
        <f>C17</f>
        <v>4.5</v>
      </c>
      <c r="C4" s="8" t="s">
        <v>6</v>
      </c>
      <c r="D4" s="5">
        <f>C18</f>
        <v>0.5</v>
      </c>
    </row>
    <row r="5" ht="24" customHeight="1" spans="1:4">
      <c r="A5" s="9" t="s">
        <v>7</v>
      </c>
      <c r="B5" s="10">
        <f>B3+D3+B4+D4</f>
        <v>18</v>
      </c>
      <c r="C5" s="11"/>
      <c r="D5" s="12"/>
    </row>
    <row r="6" ht="22.5" customHeight="1"/>
    <row r="7" ht="22.5" customHeight="1" spans="1:4">
      <c r="A7" s="13" t="s">
        <v>8</v>
      </c>
      <c r="B7" s="13" t="s">
        <v>9</v>
      </c>
      <c r="C7" s="13" t="s">
        <v>10</v>
      </c>
      <c r="D7" s="13" t="s">
        <v>11</v>
      </c>
    </row>
    <row r="8" ht="27" customHeight="1" spans="1:4">
      <c r="A8" s="14" t="s">
        <v>12</v>
      </c>
      <c r="B8" s="15" t="s">
        <v>13</v>
      </c>
      <c r="C8" s="16">
        <v>6</v>
      </c>
      <c r="D8" s="17" t="s">
        <v>14</v>
      </c>
    </row>
    <row r="9" ht="27" customHeight="1" spans="1:4">
      <c r="A9" s="18" t="s">
        <v>15</v>
      </c>
      <c r="B9" s="19" t="s">
        <v>13</v>
      </c>
      <c r="C9" s="20">
        <v>2</v>
      </c>
      <c r="D9" s="21" t="s">
        <v>14</v>
      </c>
    </row>
    <row r="10" ht="27" customHeight="1" spans="1:4">
      <c r="A10" s="18" t="s">
        <v>16</v>
      </c>
      <c r="B10" s="19" t="s">
        <v>13</v>
      </c>
      <c r="C10" s="20">
        <v>3</v>
      </c>
      <c r="D10" s="21" t="s">
        <v>14</v>
      </c>
    </row>
    <row r="11" ht="27" customHeight="1" spans="1:4">
      <c r="A11" s="18" t="s">
        <v>17</v>
      </c>
      <c r="B11" s="19" t="s">
        <v>18</v>
      </c>
      <c r="C11" s="20">
        <v>2</v>
      </c>
      <c r="D11" s="21" t="s">
        <v>19</v>
      </c>
    </row>
    <row r="12" ht="27" customHeight="1" spans="1:4">
      <c r="A12" s="18" t="s">
        <v>20</v>
      </c>
      <c r="B12" s="19" t="s">
        <v>21</v>
      </c>
      <c r="C12" s="20">
        <v>1</v>
      </c>
      <c r="D12" s="21" t="s">
        <v>19</v>
      </c>
    </row>
    <row r="13" ht="27" customHeight="1" spans="1:4">
      <c r="A13" s="18" t="s">
        <v>22</v>
      </c>
      <c r="B13" s="19" t="s">
        <v>23</v>
      </c>
      <c r="C13" s="20">
        <v>2</v>
      </c>
      <c r="D13" s="21" t="s">
        <v>19</v>
      </c>
    </row>
    <row r="14" ht="27" customHeight="1" spans="1:4">
      <c r="A14" s="18" t="s">
        <v>24</v>
      </c>
      <c r="B14" s="19" t="s">
        <v>23</v>
      </c>
      <c r="C14" s="20">
        <v>1</v>
      </c>
      <c r="D14" s="21" t="s">
        <v>19</v>
      </c>
    </row>
    <row r="15" ht="27" customHeight="1" spans="1:4">
      <c r="A15" s="18" t="s">
        <v>25</v>
      </c>
      <c r="B15" s="19" t="s">
        <v>23</v>
      </c>
      <c r="C15" s="20">
        <v>2</v>
      </c>
      <c r="D15" s="21" t="s">
        <v>19</v>
      </c>
    </row>
    <row r="16" ht="27" customHeight="1" spans="1:4">
      <c r="A16" s="18" t="s">
        <v>26</v>
      </c>
      <c r="B16" s="19" t="s">
        <v>27</v>
      </c>
      <c r="C16" s="20">
        <v>2</v>
      </c>
      <c r="D16" s="21" t="s">
        <v>28</v>
      </c>
    </row>
    <row r="17" ht="27" customHeight="1" spans="1:4">
      <c r="A17" s="18" t="s">
        <v>29</v>
      </c>
      <c r="B17" s="19" t="s">
        <v>30</v>
      </c>
      <c r="C17" s="20">
        <v>4.5</v>
      </c>
      <c r="D17" s="21" t="s">
        <v>29</v>
      </c>
    </row>
    <row r="18" ht="27" customHeight="1" spans="1:4">
      <c r="A18" s="22" t="s">
        <v>31</v>
      </c>
      <c r="B18" s="23" t="s">
        <v>32</v>
      </c>
      <c r="C18" s="24">
        <v>0.5</v>
      </c>
      <c r="D18" s="25" t="s">
        <v>33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工期计划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2026-10-13T12:30:58Z</dcterms:created>
  <dcterms:modified xsi:type="dcterms:W3CDTF">2026-10-13T12:33:55Z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76BF825E2DCB763B3DB4CD6AEC81BA1D_42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